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yp\Documents\ECITT study\ECITT\"/>
    </mc:Choice>
  </mc:AlternateContent>
  <xr:revisionPtr revIDLastSave="0" documentId="13_ncr:1_{13D002B9-605F-4D7E-8D14-DEDAB5ACFA62}" xr6:coauthVersionLast="47" xr6:coauthVersionMax="47" xr10:uidLastSave="{00000000-0000-0000-0000-000000000000}"/>
  <bookViews>
    <workbookView xWindow="-120" yWindow="-120" windowWidth="20730" windowHeight="11040" xr2:uid="{4222DF00-4203-4BC9-885C-6C91C9BD8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6" i="1" l="1"/>
  <c r="AH36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2" i="1"/>
</calcChain>
</file>

<file path=xl/sharedStrings.xml><?xml version="1.0" encoding="utf-8"?>
<sst xmlns="http://schemas.openxmlformats.org/spreadsheetml/2006/main" count="283" uniqueCount="55">
  <si>
    <t>tester</t>
  </si>
  <si>
    <t>testName</t>
  </si>
  <si>
    <t>year</t>
  </si>
  <si>
    <t>mth</t>
  </si>
  <si>
    <t>day</t>
  </si>
  <si>
    <t>hour</t>
  </si>
  <si>
    <t>min</t>
  </si>
  <si>
    <t>sec</t>
  </si>
  <si>
    <t>partNo</t>
  </si>
  <si>
    <t>partRef</t>
  </si>
  <si>
    <t>age</t>
  </si>
  <si>
    <t>gender</t>
  </si>
  <si>
    <t>trialNo</t>
  </si>
  <si>
    <t>trialType</t>
  </si>
  <si>
    <t>trialVar</t>
  </si>
  <si>
    <t>accu</t>
  </si>
  <si>
    <t>dotPr</t>
  </si>
  <si>
    <t>touchTime</t>
  </si>
  <si>
    <t>respTime</t>
  </si>
  <si>
    <t>trialTime</t>
  </si>
  <si>
    <t>animShown</t>
  </si>
  <si>
    <t>alexandra</t>
  </si>
  <si>
    <t>24m2h</t>
  </si>
  <si>
    <t>female</t>
  </si>
  <si>
    <t>prl</t>
  </si>
  <si>
    <t>bus</t>
  </si>
  <si>
    <t>elephant</t>
  </si>
  <si>
    <t>tpl</t>
  </si>
  <si>
    <t>prpt</t>
  </si>
  <si>
    <t>elephant2</t>
  </si>
  <si>
    <t>apple</t>
  </si>
  <si>
    <t>flower</t>
  </si>
  <si>
    <t>inhb</t>
  </si>
  <si>
    <t>elephant4</t>
  </si>
  <si>
    <t>owl</t>
  </si>
  <si>
    <t>prpt location</t>
  </si>
  <si>
    <t>validity_basedonRT</t>
  </si>
  <si>
    <t>reason invalid</t>
  </si>
  <si>
    <t>terminated early?</t>
  </si>
  <si>
    <t>reason terminated</t>
  </si>
  <si>
    <t>held back?</t>
  </si>
  <si>
    <t>override software</t>
  </si>
  <si>
    <t>Reason overwritten</t>
  </si>
  <si>
    <t>retain RT as &gt;5000ms</t>
  </si>
  <si>
    <t>notes</t>
  </si>
  <si>
    <t>med. time inh.</t>
  </si>
  <si>
    <t>med. Time prpt</t>
  </si>
  <si>
    <t>accu prpt</t>
  </si>
  <si>
    <t>accu inh</t>
  </si>
  <si>
    <t>none</t>
  </si>
  <si>
    <t>left</t>
  </si>
  <si>
    <t>17 out 23</t>
  </si>
  <si>
    <t>5 out of 8</t>
  </si>
  <si>
    <t>coder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</si>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</sst>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D36B-DAEC-4888-ACDA-A661C747ACEF}">
  <dimension ref="A1:AM37"/>
  <sheetViews>
    <sheetView tabSelected="1" topLeftCell="T8" workbookViewId="0">
      <selection activeCell="AG36" sqref="AG36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18</v>
      </c>
      <c r="AG1" t="s">
        <v>45</v>
      </c>
      <c r="AH1" t="s">
        <v>46</v>
      </c>
      <c r="AI1" t="s">
        <v>14</v>
      </c>
      <c r="AJ1" t="s">
        <v>15</v>
      </c>
      <c r="AK1" t="s">
        <v>47</v>
      </c>
      <c r="AL1" t="s">
        <v>48</v>
      </c>
      <c r="AM1" t="s">
        <v>53</v>
      </c>
    </row>
    <row r="2" spans="1:39" x14ac:dyDescent="0.25">
      <c r="A2" t="s">
        <v>21</v>
      </c>
      <c r="B2" t="s">
        <v>22</v>
      </c>
      <c r="C2">
        <v>2024</v>
      </c>
      <c r="D2">
        <v>11</v>
      </c>
      <c r="E2">
        <v>23</v>
      </c>
      <c r="F2">
        <v>15</v>
      </c>
      <c r="G2">
        <v>1</v>
      </c>
      <c r="H2">
        <v>7</v>
      </c>
      <c r="I2">
        <v>2795</v>
      </c>
      <c r="J2">
        <v>156</v>
      </c>
      <c r="K2">
        <v>18</v>
      </c>
      <c r="L2" t="s">
        <v>23</v>
      </c>
      <c r="M2">
        <v>1</v>
      </c>
      <c r="N2" t="s">
        <v>24</v>
      </c>
      <c r="P2">
        <v>1</v>
      </c>
      <c r="Q2">
        <v>0</v>
      </c>
      <c r="R2">
        <v>13540</v>
      </c>
      <c r="S2">
        <v>13540</v>
      </c>
      <c r="T2">
        <v>13540</v>
      </c>
      <c r="U2" t="s">
        <v>25</v>
      </c>
      <c r="V2" t="s">
        <v>50</v>
      </c>
      <c r="W2">
        <f>IF(AF2&lt;300,0,1)</f>
        <v>1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>
        <f>IF(AF2&gt;5000,0,1)</f>
        <v>0</v>
      </c>
      <c r="AE2" t="s">
        <v>49</v>
      </c>
      <c r="AF2">
        <v>13540</v>
      </c>
      <c r="AJ2">
        <v>1</v>
      </c>
      <c r="AM2" t="s">
        <v>54</v>
      </c>
    </row>
    <row r="3" spans="1:39" x14ac:dyDescent="0.25">
      <c r="A3" t="s">
        <v>21</v>
      </c>
      <c r="B3" t="s">
        <v>22</v>
      </c>
      <c r="C3">
        <v>2024</v>
      </c>
      <c r="D3">
        <v>11</v>
      </c>
      <c r="E3">
        <v>23</v>
      </c>
      <c r="F3">
        <v>15</v>
      </c>
      <c r="G3">
        <v>1</v>
      </c>
      <c r="H3">
        <v>24</v>
      </c>
      <c r="I3">
        <v>2795</v>
      </c>
      <c r="J3">
        <v>156</v>
      </c>
      <c r="K3">
        <v>18</v>
      </c>
      <c r="L3" t="s">
        <v>23</v>
      </c>
      <c r="M3">
        <v>1</v>
      </c>
      <c r="N3" t="s">
        <v>24</v>
      </c>
      <c r="P3">
        <v>1</v>
      </c>
      <c r="Q3">
        <v>0</v>
      </c>
      <c r="R3">
        <v>1457</v>
      </c>
      <c r="S3">
        <v>1850</v>
      </c>
      <c r="T3">
        <v>1850</v>
      </c>
      <c r="U3" t="s">
        <v>26</v>
      </c>
      <c r="W3">
        <f t="shared" ref="W3:W35" si="0">IF(AF3&lt;300,0,1)</f>
        <v>1</v>
      </c>
      <c r="AD3">
        <f t="shared" ref="AD3:AD35" si="1">IF(AF3&gt;5000,0,1)</f>
        <v>1</v>
      </c>
      <c r="AF3">
        <v>1850</v>
      </c>
      <c r="AJ3">
        <v>1</v>
      </c>
    </row>
    <row r="4" spans="1:39" x14ac:dyDescent="0.25">
      <c r="A4" t="s">
        <v>21</v>
      </c>
      <c r="B4" t="s">
        <v>22</v>
      </c>
      <c r="C4">
        <v>2024</v>
      </c>
      <c r="D4">
        <v>11</v>
      </c>
      <c r="E4">
        <v>23</v>
      </c>
      <c r="F4">
        <v>15</v>
      </c>
      <c r="G4">
        <v>1</v>
      </c>
      <c r="H4">
        <v>30</v>
      </c>
      <c r="I4">
        <v>2795</v>
      </c>
      <c r="J4">
        <v>156</v>
      </c>
      <c r="K4">
        <v>18</v>
      </c>
      <c r="L4" t="s">
        <v>23</v>
      </c>
      <c r="M4">
        <v>1</v>
      </c>
      <c r="N4" t="s">
        <v>27</v>
      </c>
      <c r="O4" t="s">
        <v>28</v>
      </c>
      <c r="P4">
        <v>0</v>
      </c>
      <c r="Q4">
        <v>0</v>
      </c>
      <c r="R4">
        <v>1234</v>
      </c>
      <c r="S4">
        <v>1499</v>
      </c>
      <c r="T4">
        <v>1499</v>
      </c>
      <c r="U4" t="s">
        <v>29</v>
      </c>
      <c r="W4">
        <f t="shared" si="0"/>
        <v>1</v>
      </c>
      <c r="AD4">
        <f t="shared" si="1"/>
        <v>1</v>
      </c>
      <c r="AF4">
        <v>1499</v>
      </c>
      <c r="AI4" t="s">
        <v>28</v>
      </c>
      <c r="AJ4">
        <v>0</v>
      </c>
    </row>
    <row r="5" spans="1:39" x14ac:dyDescent="0.25">
      <c r="A5" t="s">
        <v>21</v>
      </c>
      <c r="B5" t="s">
        <v>22</v>
      </c>
      <c r="C5">
        <v>2024</v>
      </c>
      <c r="D5">
        <v>11</v>
      </c>
      <c r="E5">
        <v>23</v>
      </c>
      <c r="F5">
        <v>15</v>
      </c>
      <c r="G5">
        <v>1</v>
      </c>
      <c r="H5">
        <v>41</v>
      </c>
      <c r="I5">
        <v>2795</v>
      </c>
      <c r="J5">
        <v>156</v>
      </c>
      <c r="K5">
        <v>18</v>
      </c>
      <c r="L5" t="s">
        <v>23</v>
      </c>
      <c r="M5">
        <v>2</v>
      </c>
      <c r="N5" t="s">
        <v>27</v>
      </c>
      <c r="O5" t="s">
        <v>28</v>
      </c>
      <c r="P5">
        <v>0</v>
      </c>
      <c r="Q5">
        <v>0</v>
      </c>
      <c r="R5">
        <v>1200</v>
      </c>
      <c r="S5">
        <v>1201</v>
      </c>
      <c r="T5">
        <v>1201</v>
      </c>
      <c r="U5" t="s">
        <v>30</v>
      </c>
      <c r="W5">
        <f t="shared" si="0"/>
        <v>1</v>
      </c>
      <c r="AD5">
        <f t="shared" si="1"/>
        <v>1</v>
      </c>
      <c r="AF5">
        <v>1201</v>
      </c>
      <c r="AI5" t="s">
        <v>28</v>
      </c>
      <c r="AJ5">
        <v>0</v>
      </c>
    </row>
    <row r="6" spans="1:39" x14ac:dyDescent="0.25">
      <c r="A6" t="s">
        <v>21</v>
      </c>
      <c r="B6" t="s">
        <v>22</v>
      </c>
      <c r="C6">
        <v>2024</v>
      </c>
      <c r="D6">
        <v>11</v>
      </c>
      <c r="E6">
        <v>23</v>
      </c>
      <c r="F6">
        <v>15</v>
      </c>
      <c r="G6">
        <v>1</v>
      </c>
      <c r="H6">
        <v>49</v>
      </c>
      <c r="I6">
        <v>2795</v>
      </c>
      <c r="J6">
        <v>156</v>
      </c>
      <c r="K6">
        <v>18</v>
      </c>
      <c r="L6" t="s">
        <v>23</v>
      </c>
      <c r="M6">
        <v>3</v>
      </c>
      <c r="N6" t="s">
        <v>27</v>
      </c>
      <c r="O6" t="s">
        <v>28</v>
      </c>
      <c r="P6">
        <v>1</v>
      </c>
      <c r="Q6">
        <v>0</v>
      </c>
      <c r="R6">
        <v>2600</v>
      </c>
      <c r="S6">
        <v>3051</v>
      </c>
      <c r="T6">
        <v>3051</v>
      </c>
      <c r="U6" t="s">
        <v>30</v>
      </c>
      <c r="W6">
        <f t="shared" si="0"/>
        <v>1</v>
      </c>
      <c r="AD6">
        <f t="shared" si="1"/>
        <v>1</v>
      </c>
      <c r="AF6">
        <v>3051</v>
      </c>
      <c r="AH6">
        <v>3051</v>
      </c>
      <c r="AI6" t="s">
        <v>28</v>
      </c>
      <c r="AJ6">
        <v>1</v>
      </c>
      <c r="AK6">
        <v>1</v>
      </c>
    </row>
    <row r="7" spans="1:39" x14ac:dyDescent="0.25">
      <c r="A7" t="s">
        <v>21</v>
      </c>
      <c r="B7" t="s">
        <v>22</v>
      </c>
      <c r="C7">
        <v>2024</v>
      </c>
      <c r="D7">
        <v>11</v>
      </c>
      <c r="E7">
        <v>23</v>
      </c>
      <c r="F7">
        <v>15</v>
      </c>
      <c r="G7">
        <v>1</v>
      </c>
      <c r="H7">
        <v>56</v>
      </c>
      <c r="I7">
        <v>2795</v>
      </c>
      <c r="J7">
        <v>156</v>
      </c>
      <c r="K7">
        <v>18</v>
      </c>
      <c r="L7" t="s">
        <v>23</v>
      </c>
      <c r="M7">
        <v>4</v>
      </c>
      <c r="N7" t="s">
        <v>27</v>
      </c>
      <c r="O7" t="s">
        <v>28</v>
      </c>
      <c r="P7">
        <v>1</v>
      </c>
      <c r="Q7">
        <v>0</v>
      </c>
      <c r="R7">
        <v>2123</v>
      </c>
      <c r="S7">
        <v>2123</v>
      </c>
      <c r="T7">
        <v>2123</v>
      </c>
      <c r="U7" t="s">
        <v>31</v>
      </c>
      <c r="W7">
        <f t="shared" si="0"/>
        <v>1</v>
      </c>
      <c r="AD7">
        <f t="shared" si="1"/>
        <v>1</v>
      </c>
      <c r="AF7">
        <v>2123</v>
      </c>
      <c r="AH7">
        <v>2123</v>
      </c>
      <c r="AI7" t="s">
        <v>28</v>
      </c>
      <c r="AJ7">
        <v>1</v>
      </c>
      <c r="AK7">
        <v>1</v>
      </c>
    </row>
    <row r="8" spans="1:39" x14ac:dyDescent="0.25">
      <c r="A8" t="s">
        <v>21</v>
      </c>
      <c r="B8" t="s">
        <v>22</v>
      </c>
      <c r="C8">
        <v>2024</v>
      </c>
      <c r="D8">
        <v>11</v>
      </c>
      <c r="E8">
        <v>23</v>
      </c>
      <c r="F8">
        <v>15</v>
      </c>
      <c r="G8">
        <v>2</v>
      </c>
      <c r="H8">
        <v>2</v>
      </c>
      <c r="I8">
        <v>2795</v>
      </c>
      <c r="J8">
        <v>156</v>
      </c>
      <c r="K8">
        <v>18</v>
      </c>
      <c r="L8" t="s">
        <v>23</v>
      </c>
      <c r="M8">
        <v>5</v>
      </c>
      <c r="N8" t="s">
        <v>27</v>
      </c>
      <c r="O8" t="s">
        <v>32</v>
      </c>
      <c r="P8">
        <v>0</v>
      </c>
      <c r="Q8">
        <v>0</v>
      </c>
      <c r="R8">
        <v>3166</v>
      </c>
      <c r="S8">
        <v>3166</v>
      </c>
      <c r="T8">
        <v>3166</v>
      </c>
      <c r="U8" t="s">
        <v>26</v>
      </c>
      <c r="W8">
        <f t="shared" si="0"/>
        <v>1</v>
      </c>
      <c r="AD8">
        <f t="shared" si="1"/>
        <v>1</v>
      </c>
      <c r="AF8">
        <v>3166</v>
      </c>
      <c r="AI8" t="s">
        <v>32</v>
      </c>
      <c r="AJ8">
        <v>0</v>
      </c>
    </row>
    <row r="9" spans="1:39" x14ac:dyDescent="0.25">
      <c r="A9" t="s">
        <v>21</v>
      </c>
      <c r="B9" t="s">
        <v>22</v>
      </c>
      <c r="C9">
        <v>2024</v>
      </c>
      <c r="D9">
        <v>11</v>
      </c>
      <c r="E9">
        <v>23</v>
      </c>
      <c r="F9">
        <v>15</v>
      </c>
      <c r="G9">
        <v>2</v>
      </c>
      <c r="H9">
        <v>13</v>
      </c>
      <c r="I9">
        <v>2795</v>
      </c>
      <c r="J9">
        <v>156</v>
      </c>
      <c r="K9">
        <v>18</v>
      </c>
      <c r="L9" t="s">
        <v>23</v>
      </c>
      <c r="M9">
        <v>6</v>
      </c>
      <c r="N9" t="s">
        <v>27</v>
      </c>
      <c r="O9" t="s">
        <v>28</v>
      </c>
      <c r="P9">
        <v>1</v>
      </c>
      <c r="Q9">
        <v>0</v>
      </c>
      <c r="R9">
        <v>3167</v>
      </c>
      <c r="S9">
        <v>3500</v>
      </c>
      <c r="T9">
        <v>3500</v>
      </c>
      <c r="U9" t="s">
        <v>26</v>
      </c>
      <c r="W9">
        <f t="shared" si="0"/>
        <v>1</v>
      </c>
      <c r="AD9">
        <f t="shared" si="1"/>
        <v>1</v>
      </c>
      <c r="AF9">
        <v>3500</v>
      </c>
      <c r="AH9">
        <v>3500</v>
      </c>
      <c r="AI9" t="s">
        <v>28</v>
      </c>
      <c r="AJ9">
        <v>1</v>
      </c>
      <c r="AK9">
        <v>1</v>
      </c>
    </row>
    <row r="10" spans="1:39" x14ac:dyDescent="0.25">
      <c r="A10" t="s">
        <v>21</v>
      </c>
      <c r="B10" t="s">
        <v>22</v>
      </c>
      <c r="C10">
        <v>2024</v>
      </c>
      <c r="D10">
        <v>11</v>
      </c>
      <c r="E10">
        <v>23</v>
      </c>
      <c r="F10">
        <v>15</v>
      </c>
      <c r="G10">
        <v>2</v>
      </c>
      <c r="H10">
        <v>21</v>
      </c>
      <c r="I10">
        <v>2795</v>
      </c>
      <c r="J10">
        <v>156</v>
      </c>
      <c r="K10">
        <v>18</v>
      </c>
      <c r="L10" t="s">
        <v>23</v>
      </c>
      <c r="M10">
        <v>7</v>
      </c>
      <c r="N10" t="s">
        <v>27</v>
      </c>
      <c r="O10" t="s">
        <v>32</v>
      </c>
      <c r="P10">
        <v>1</v>
      </c>
      <c r="Q10">
        <v>0</v>
      </c>
      <c r="R10">
        <v>1699</v>
      </c>
      <c r="S10">
        <v>1699</v>
      </c>
      <c r="T10">
        <v>1699</v>
      </c>
      <c r="U10" t="s">
        <v>33</v>
      </c>
      <c r="W10">
        <f t="shared" si="0"/>
        <v>1</v>
      </c>
      <c r="AD10">
        <f t="shared" si="1"/>
        <v>1</v>
      </c>
      <c r="AF10">
        <v>1699</v>
      </c>
      <c r="AG10">
        <v>1699</v>
      </c>
      <c r="AI10" t="s">
        <v>32</v>
      </c>
      <c r="AJ10">
        <v>1</v>
      </c>
      <c r="AL10">
        <v>1</v>
      </c>
    </row>
    <row r="11" spans="1:39" x14ac:dyDescent="0.25">
      <c r="A11" t="s">
        <v>21</v>
      </c>
      <c r="B11" t="s">
        <v>22</v>
      </c>
      <c r="C11">
        <v>2024</v>
      </c>
      <c r="D11">
        <v>11</v>
      </c>
      <c r="E11">
        <v>23</v>
      </c>
      <c r="F11">
        <v>15</v>
      </c>
      <c r="G11">
        <v>2</v>
      </c>
      <c r="H11">
        <v>27</v>
      </c>
      <c r="I11">
        <v>2795</v>
      </c>
      <c r="J11">
        <v>156</v>
      </c>
      <c r="K11">
        <v>18</v>
      </c>
      <c r="L11" t="s">
        <v>23</v>
      </c>
      <c r="M11">
        <v>8</v>
      </c>
      <c r="N11" t="s">
        <v>27</v>
      </c>
      <c r="O11" t="s">
        <v>28</v>
      </c>
      <c r="P11">
        <v>1</v>
      </c>
      <c r="Q11">
        <v>0</v>
      </c>
      <c r="R11">
        <v>2343</v>
      </c>
      <c r="S11">
        <v>2343</v>
      </c>
      <c r="T11">
        <v>2343</v>
      </c>
      <c r="U11" t="s">
        <v>26</v>
      </c>
      <c r="W11">
        <f t="shared" si="0"/>
        <v>1</v>
      </c>
      <c r="AD11">
        <f t="shared" si="1"/>
        <v>1</v>
      </c>
      <c r="AF11">
        <v>2343</v>
      </c>
      <c r="AH11">
        <v>2343</v>
      </c>
      <c r="AI11" t="s">
        <v>28</v>
      </c>
      <c r="AJ11">
        <v>1</v>
      </c>
      <c r="AK11">
        <v>1</v>
      </c>
    </row>
    <row r="12" spans="1:39" x14ac:dyDescent="0.25">
      <c r="A12" t="s">
        <v>21</v>
      </c>
      <c r="B12" t="s">
        <v>22</v>
      </c>
      <c r="C12">
        <v>2024</v>
      </c>
      <c r="D12">
        <v>11</v>
      </c>
      <c r="E12">
        <v>23</v>
      </c>
      <c r="F12">
        <v>15</v>
      </c>
      <c r="G12">
        <v>2</v>
      </c>
      <c r="H12">
        <v>34</v>
      </c>
      <c r="I12">
        <v>2795</v>
      </c>
      <c r="J12">
        <v>156</v>
      </c>
      <c r="K12">
        <v>18</v>
      </c>
      <c r="L12" t="s">
        <v>23</v>
      </c>
      <c r="M12">
        <v>9</v>
      </c>
      <c r="N12" t="s">
        <v>27</v>
      </c>
      <c r="O12" t="s">
        <v>28</v>
      </c>
      <c r="P12">
        <v>1</v>
      </c>
      <c r="Q12">
        <v>0</v>
      </c>
      <c r="R12">
        <v>2349</v>
      </c>
      <c r="S12">
        <v>2349</v>
      </c>
      <c r="T12">
        <v>2349</v>
      </c>
      <c r="U12" t="s">
        <v>33</v>
      </c>
      <c r="W12">
        <f t="shared" si="0"/>
        <v>1</v>
      </c>
      <c r="AD12">
        <f t="shared" si="1"/>
        <v>1</v>
      </c>
      <c r="AF12">
        <v>2349</v>
      </c>
      <c r="AH12">
        <v>2349</v>
      </c>
      <c r="AI12" t="s">
        <v>28</v>
      </c>
      <c r="AJ12">
        <v>1</v>
      </c>
      <c r="AK12">
        <v>1</v>
      </c>
    </row>
    <row r="13" spans="1:39" x14ac:dyDescent="0.25">
      <c r="A13" t="s">
        <v>21</v>
      </c>
      <c r="B13" t="s">
        <v>22</v>
      </c>
      <c r="C13">
        <v>2024</v>
      </c>
      <c r="D13">
        <v>11</v>
      </c>
      <c r="E13">
        <v>23</v>
      </c>
      <c r="F13">
        <v>15</v>
      </c>
      <c r="G13">
        <v>2</v>
      </c>
      <c r="H13">
        <v>40</v>
      </c>
      <c r="I13">
        <v>2795</v>
      </c>
      <c r="J13">
        <v>156</v>
      </c>
      <c r="K13">
        <v>18</v>
      </c>
      <c r="L13" t="s">
        <v>23</v>
      </c>
      <c r="M13">
        <v>10</v>
      </c>
      <c r="N13" t="s">
        <v>27</v>
      </c>
      <c r="O13" t="s">
        <v>28</v>
      </c>
      <c r="P13">
        <v>1</v>
      </c>
      <c r="Q13">
        <v>0</v>
      </c>
      <c r="R13">
        <v>1658</v>
      </c>
      <c r="S13">
        <v>1658</v>
      </c>
      <c r="T13">
        <v>1658</v>
      </c>
      <c r="U13" t="s">
        <v>31</v>
      </c>
      <c r="W13">
        <f t="shared" si="0"/>
        <v>1</v>
      </c>
      <c r="AD13">
        <f t="shared" si="1"/>
        <v>1</v>
      </c>
      <c r="AF13">
        <v>1658</v>
      </c>
      <c r="AH13">
        <v>1658</v>
      </c>
      <c r="AI13" t="s">
        <v>28</v>
      </c>
      <c r="AJ13">
        <v>1</v>
      </c>
      <c r="AK13">
        <v>1</v>
      </c>
    </row>
    <row r="14" spans="1:39" x14ac:dyDescent="0.25">
      <c r="A14" t="s">
        <v>21</v>
      </c>
      <c r="B14" t="s">
        <v>22</v>
      </c>
      <c r="C14">
        <v>2024</v>
      </c>
      <c r="D14">
        <v>11</v>
      </c>
      <c r="E14">
        <v>23</v>
      </c>
      <c r="F14">
        <v>15</v>
      </c>
      <c r="G14">
        <v>2</v>
      </c>
      <c r="H14">
        <v>46</v>
      </c>
      <c r="I14">
        <v>2795</v>
      </c>
      <c r="J14">
        <v>156</v>
      </c>
      <c r="K14">
        <v>18</v>
      </c>
      <c r="L14" t="s">
        <v>23</v>
      </c>
      <c r="M14">
        <v>11</v>
      </c>
      <c r="N14" t="s">
        <v>27</v>
      </c>
      <c r="O14" t="s">
        <v>28</v>
      </c>
      <c r="P14">
        <v>1</v>
      </c>
      <c r="Q14">
        <v>0</v>
      </c>
      <c r="R14">
        <v>8820</v>
      </c>
      <c r="S14">
        <v>9503</v>
      </c>
      <c r="T14">
        <v>9503</v>
      </c>
      <c r="U14" t="s">
        <v>26</v>
      </c>
      <c r="W14">
        <f t="shared" si="0"/>
        <v>1</v>
      </c>
      <c r="AD14">
        <f t="shared" si="1"/>
        <v>0</v>
      </c>
      <c r="AF14">
        <v>9503</v>
      </c>
      <c r="AI14" t="s">
        <v>28</v>
      </c>
      <c r="AJ14">
        <v>1</v>
      </c>
      <c r="AK14">
        <v>1</v>
      </c>
    </row>
    <row r="15" spans="1:39" x14ac:dyDescent="0.25">
      <c r="A15" t="s">
        <v>21</v>
      </c>
      <c r="B15" t="s">
        <v>22</v>
      </c>
      <c r="C15">
        <v>2024</v>
      </c>
      <c r="D15">
        <v>11</v>
      </c>
      <c r="E15">
        <v>23</v>
      </c>
      <c r="F15">
        <v>15</v>
      </c>
      <c r="G15">
        <v>3</v>
      </c>
      <c r="H15">
        <v>0</v>
      </c>
      <c r="I15">
        <v>2795</v>
      </c>
      <c r="J15">
        <v>156</v>
      </c>
      <c r="K15">
        <v>18</v>
      </c>
      <c r="L15" t="s">
        <v>23</v>
      </c>
      <c r="M15">
        <v>12</v>
      </c>
      <c r="N15" t="s">
        <v>27</v>
      </c>
      <c r="O15" t="s">
        <v>28</v>
      </c>
      <c r="P15">
        <v>1</v>
      </c>
      <c r="Q15">
        <v>0</v>
      </c>
      <c r="R15">
        <v>1002</v>
      </c>
      <c r="S15">
        <v>1002</v>
      </c>
      <c r="T15">
        <v>1002</v>
      </c>
      <c r="U15" t="s">
        <v>29</v>
      </c>
      <c r="W15">
        <f t="shared" si="0"/>
        <v>1</v>
      </c>
      <c r="AD15">
        <f t="shared" si="1"/>
        <v>1</v>
      </c>
      <c r="AF15">
        <v>1002</v>
      </c>
      <c r="AH15">
        <v>1002</v>
      </c>
      <c r="AI15" t="s">
        <v>28</v>
      </c>
      <c r="AJ15">
        <v>1</v>
      </c>
      <c r="AK15">
        <v>1</v>
      </c>
    </row>
    <row r="16" spans="1:39" x14ac:dyDescent="0.25">
      <c r="A16" t="s">
        <v>21</v>
      </c>
      <c r="B16" t="s">
        <v>22</v>
      </c>
      <c r="C16">
        <v>2024</v>
      </c>
      <c r="D16">
        <v>11</v>
      </c>
      <c r="E16">
        <v>23</v>
      </c>
      <c r="F16">
        <v>15</v>
      </c>
      <c r="G16">
        <v>3</v>
      </c>
      <c r="H16">
        <v>5</v>
      </c>
      <c r="I16">
        <v>2795</v>
      </c>
      <c r="J16">
        <v>156</v>
      </c>
      <c r="K16">
        <v>18</v>
      </c>
      <c r="L16" t="s">
        <v>23</v>
      </c>
      <c r="M16">
        <v>13</v>
      </c>
      <c r="N16" t="s">
        <v>27</v>
      </c>
      <c r="O16" t="s">
        <v>32</v>
      </c>
      <c r="P16">
        <v>0</v>
      </c>
      <c r="Q16">
        <v>0</v>
      </c>
      <c r="R16">
        <v>2066</v>
      </c>
      <c r="S16">
        <v>2066</v>
      </c>
      <c r="T16">
        <v>2066</v>
      </c>
      <c r="U16" t="s">
        <v>26</v>
      </c>
      <c r="W16">
        <f t="shared" si="0"/>
        <v>1</v>
      </c>
      <c r="AD16">
        <f t="shared" si="1"/>
        <v>1</v>
      </c>
      <c r="AF16">
        <v>2066</v>
      </c>
      <c r="AI16" t="s">
        <v>32</v>
      </c>
      <c r="AJ16">
        <v>0</v>
      </c>
    </row>
    <row r="17" spans="1:38" x14ac:dyDescent="0.25">
      <c r="A17" t="s">
        <v>21</v>
      </c>
      <c r="B17" t="s">
        <v>22</v>
      </c>
      <c r="C17">
        <v>2024</v>
      </c>
      <c r="D17">
        <v>11</v>
      </c>
      <c r="E17">
        <v>23</v>
      </c>
      <c r="F17">
        <v>15</v>
      </c>
      <c r="G17">
        <v>3</v>
      </c>
      <c r="H17">
        <v>14</v>
      </c>
      <c r="I17">
        <v>2795</v>
      </c>
      <c r="J17">
        <v>156</v>
      </c>
      <c r="K17">
        <v>18</v>
      </c>
      <c r="L17" t="s">
        <v>23</v>
      </c>
      <c r="M17">
        <v>14</v>
      </c>
      <c r="N17" t="s">
        <v>27</v>
      </c>
      <c r="O17" t="s">
        <v>32</v>
      </c>
      <c r="P17">
        <v>1</v>
      </c>
      <c r="Q17">
        <v>0</v>
      </c>
      <c r="R17">
        <v>2229</v>
      </c>
      <c r="S17">
        <v>2230</v>
      </c>
      <c r="T17">
        <v>2230</v>
      </c>
      <c r="U17" t="s">
        <v>30</v>
      </c>
      <c r="W17">
        <f t="shared" si="0"/>
        <v>1</v>
      </c>
      <c r="AD17">
        <f t="shared" si="1"/>
        <v>1</v>
      </c>
      <c r="AF17">
        <v>2230</v>
      </c>
      <c r="AG17">
        <v>2230</v>
      </c>
      <c r="AI17" t="s">
        <v>32</v>
      </c>
      <c r="AJ17">
        <v>1</v>
      </c>
      <c r="AL17">
        <v>1</v>
      </c>
    </row>
    <row r="18" spans="1:38" x14ac:dyDescent="0.25">
      <c r="A18" t="s">
        <v>21</v>
      </c>
      <c r="B18" t="s">
        <v>22</v>
      </c>
      <c r="C18">
        <v>2024</v>
      </c>
      <c r="D18">
        <v>11</v>
      </c>
      <c r="E18">
        <v>23</v>
      </c>
      <c r="F18">
        <v>15</v>
      </c>
      <c r="G18">
        <v>3</v>
      </c>
      <c r="H18">
        <v>20</v>
      </c>
      <c r="I18">
        <v>2795</v>
      </c>
      <c r="J18">
        <v>156</v>
      </c>
      <c r="K18">
        <v>18</v>
      </c>
      <c r="L18" t="s">
        <v>23</v>
      </c>
      <c r="M18">
        <v>15</v>
      </c>
      <c r="N18" t="s">
        <v>27</v>
      </c>
      <c r="O18" t="s">
        <v>28</v>
      </c>
      <c r="P18">
        <v>0</v>
      </c>
      <c r="Q18">
        <v>0</v>
      </c>
      <c r="R18">
        <v>141</v>
      </c>
      <c r="S18">
        <v>142</v>
      </c>
      <c r="T18">
        <v>142</v>
      </c>
      <c r="U18" t="s">
        <v>34</v>
      </c>
      <c r="W18">
        <f t="shared" si="0"/>
        <v>0</v>
      </c>
      <c r="X18">
        <v>3</v>
      </c>
      <c r="AD18">
        <f t="shared" si="1"/>
        <v>1</v>
      </c>
      <c r="AF18" s="1">
        <v>142</v>
      </c>
      <c r="AI18" s="1" t="s">
        <v>28</v>
      </c>
      <c r="AJ18" s="1">
        <v>0</v>
      </c>
    </row>
    <row r="19" spans="1:38" x14ac:dyDescent="0.25">
      <c r="A19" t="s">
        <v>21</v>
      </c>
      <c r="B19" t="s">
        <v>22</v>
      </c>
      <c r="C19">
        <v>2024</v>
      </c>
      <c r="D19">
        <v>11</v>
      </c>
      <c r="E19">
        <v>23</v>
      </c>
      <c r="F19">
        <v>15</v>
      </c>
      <c r="G19">
        <v>3</v>
      </c>
      <c r="H19">
        <v>27</v>
      </c>
      <c r="I19">
        <v>2795</v>
      </c>
      <c r="J19">
        <v>156</v>
      </c>
      <c r="K19">
        <v>18</v>
      </c>
      <c r="L19" t="s">
        <v>23</v>
      </c>
      <c r="M19">
        <v>16</v>
      </c>
      <c r="N19" t="s">
        <v>27</v>
      </c>
      <c r="O19" t="s">
        <v>28</v>
      </c>
      <c r="P19">
        <v>0</v>
      </c>
      <c r="Q19">
        <v>0</v>
      </c>
      <c r="R19">
        <v>1316</v>
      </c>
      <c r="S19">
        <v>1957</v>
      </c>
      <c r="T19">
        <v>1957</v>
      </c>
      <c r="U19" t="s">
        <v>25</v>
      </c>
      <c r="W19">
        <f t="shared" si="0"/>
        <v>1</v>
      </c>
      <c r="AD19">
        <f t="shared" si="1"/>
        <v>1</v>
      </c>
      <c r="AF19">
        <v>1957</v>
      </c>
      <c r="AH19">
        <v>1957</v>
      </c>
      <c r="AI19" t="s">
        <v>28</v>
      </c>
      <c r="AJ19">
        <v>0</v>
      </c>
    </row>
    <row r="20" spans="1:38" x14ac:dyDescent="0.25">
      <c r="A20" t="s">
        <v>21</v>
      </c>
      <c r="B20" t="s">
        <v>22</v>
      </c>
      <c r="C20">
        <v>2024</v>
      </c>
      <c r="D20">
        <v>11</v>
      </c>
      <c r="E20">
        <v>23</v>
      </c>
      <c r="F20">
        <v>15</v>
      </c>
      <c r="G20">
        <v>3</v>
      </c>
      <c r="H20">
        <v>35</v>
      </c>
      <c r="I20">
        <v>2795</v>
      </c>
      <c r="J20">
        <v>156</v>
      </c>
      <c r="K20">
        <v>18</v>
      </c>
      <c r="L20" t="s">
        <v>23</v>
      </c>
      <c r="M20">
        <v>17</v>
      </c>
      <c r="N20" t="s">
        <v>27</v>
      </c>
      <c r="O20" t="s">
        <v>32</v>
      </c>
      <c r="P20">
        <v>1</v>
      </c>
      <c r="Q20">
        <v>0</v>
      </c>
      <c r="R20">
        <v>1361</v>
      </c>
      <c r="S20">
        <v>1719</v>
      </c>
      <c r="T20">
        <v>1719</v>
      </c>
      <c r="U20" t="s">
        <v>34</v>
      </c>
      <c r="W20">
        <f t="shared" si="0"/>
        <v>1</v>
      </c>
      <c r="AD20">
        <f t="shared" si="1"/>
        <v>1</v>
      </c>
      <c r="AF20">
        <v>1719</v>
      </c>
      <c r="AG20">
        <v>1719</v>
      </c>
      <c r="AI20" t="s">
        <v>32</v>
      </c>
      <c r="AJ20">
        <v>1</v>
      </c>
      <c r="AL20">
        <v>1</v>
      </c>
    </row>
    <row r="21" spans="1:38" x14ac:dyDescent="0.25">
      <c r="A21" t="s">
        <v>21</v>
      </c>
      <c r="B21" t="s">
        <v>22</v>
      </c>
      <c r="C21">
        <v>2024</v>
      </c>
      <c r="D21">
        <v>11</v>
      </c>
      <c r="E21">
        <v>23</v>
      </c>
      <c r="F21">
        <v>15</v>
      </c>
      <c r="G21">
        <v>3</v>
      </c>
      <c r="H21">
        <v>41</v>
      </c>
      <c r="I21">
        <v>2795</v>
      </c>
      <c r="J21">
        <v>156</v>
      </c>
      <c r="K21">
        <v>18</v>
      </c>
      <c r="L21" t="s">
        <v>23</v>
      </c>
      <c r="M21">
        <v>18</v>
      </c>
      <c r="N21" t="s">
        <v>27</v>
      </c>
      <c r="O21" t="s">
        <v>28</v>
      </c>
      <c r="P21">
        <v>1</v>
      </c>
      <c r="Q21">
        <v>0</v>
      </c>
      <c r="R21">
        <v>4624</v>
      </c>
      <c r="S21">
        <v>4624</v>
      </c>
      <c r="T21">
        <v>4624</v>
      </c>
      <c r="U21" t="s">
        <v>29</v>
      </c>
      <c r="W21">
        <f t="shared" si="0"/>
        <v>1</v>
      </c>
      <c r="AD21">
        <f t="shared" si="1"/>
        <v>1</v>
      </c>
      <c r="AF21">
        <v>4624</v>
      </c>
      <c r="AH21">
        <v>4624</v>
      </c>
      <c r="AI21" t="s">
        <v>28</v>
      </c>
      <c r="AJ21">
        <v>1</v>
      </c>
      <c r="AK21">
        <v>1</v>
      </c>
    </row>
    <row r="22" spans="1:38" x14ac:dyDescent="0.25">
      <c r="A22" t="s">
        <v>21</v>
      </c>
      <c r="B22" t="s">
        <v>22</v>
      </c>
      <c r="C22">
        <v>2024</v>
      </c>
      <c r="D22">
        <v>11</v>
      </c>
      <c r="E22">
        <v>23</v>
      </c>
      <c r="F22">
        <v>15</v>
      </c>
      <c r="G22">
        <v>3</v>
      </c>
      <c r="H22">
        <v>49</v>
      </c>
      <c r="I22">
        <v>2795</v>
      </c>
      <c r="J22">
        <v>156</v>
      </c>
      <c r="K22">
        <v>18</v>
      </c>
      <c r="L22" t="s">
        <v>23</v>
      </c>
      <c r="M22">
        <v>19</v>
      </c>
      <c r="N22" t="s">
        <v>27</v>
      </c>
      <c r="O22" t="s">
        <v>28</v>
      </c>
      <c r="P22">
        <v>1</v>
      </c>
      <c r="Q22">
        <v>0</v>
      </c>
      <c r="R22">
        <v>2824</v>
      </c>
      <c r="S22">
        <v>2824</v>
      </c>
      <c r="T22">
        <v>2824</v>
      </c>
      <c r="U22" t="s">
        <v>26</v>
      </c>
      <c r="W22">
        <f t="shared" si="0"/>
        <v>1</v>
      </c>
      <c r="AD22">
        <f t="shared" si="1"/>
        <v>1</v>
      </c>
      <c r="AF22">
        <v>2824</v>
      </c>
      <c r="AH22">
        <v>2824</v>
      </c>
      <c r="AI22" t="s">
        <v>28</v>
      </c>
      <c r="AJ22">
        <v>1</v>
      </c>
      <c r="AK22">
        <v>1</v>
      </c>
    </row>
    <row r="23" spans="1:38" x14ac:dyDescent="0.25">
      <c r="A23" t="s">
        <v>21</v>
      </c>
      <c r="B23" t="s">
        <v>22</v>
      </c>
      <c r="C23">
        <v>2024</v>
      </c>
      <c r="D23">
        <v>11</v>
      </c>
      <c r="E23">
        <v>23</v>
      </c>
      <c r="F23">
        <v>15</v>
      </c>
      <c r="G23">
        <v>3</v>
      </c>
      <c r="H23">
        <v>56</v>
      </c>
      <c r="I23">
        <v>2795</v>
      </c>
      <c r="J23">
        <v>156</v>
      </c>
      <c r="K23">
        <v>18</v>
      </c>
      <c r="L23" t="s">
        <v>23</v>
      </c>
      <c r="M23">
        <v>20</v>
      </c>
      <c r="N23" t="s">
        <v>27</v>
      </c>
      <c r="O23" t="s">
        <v>28</v>
      </c>
      <c r="P23">
        <v>1</v>
      </c>
      <c r="Q23">
        <v>0</v>
      </c>
      <c r="R23">
        <v>3575</v>
      </c>
      <c r="S23">
        <v>3576</v>
      </c>
      <c r="T23">
        <v>3576</v>
      </c>
      <c r="U23" t="s">
        <v>29</v>
      </c>
      <c r="W23">
        <f t="shared" si="0"/>
        <v>1</v>
      </c>
      <c r="AD23">
        <f t="shared" si="1"/>
        <v>1</v>
      </c>
      <c r="AF23">
        <v>3576</v>
      </c>
      <c r="AH23">
        <v>3576</v>
      </c>
      <c r="AI23" t="s">
        <v>28</v>
      </c>
      <c r="AJ23">
        <v>1</v>
      </c>
      <c r="AK23">
        <v>1</v>
      </c>
    </row>
    <row r="24" spans="1:38" x14ac:dyDescent="0.25">
      <c r="A24" t="s">
        <v>21</v>
      </c>
      <c r="B24" t="s">
        <v>22</v>
      </c>
      <c r="C24">
        <v>2024</v>
      </c>
      <c r="D24">
        <v>11</v>
      </c>
      <c r="E24">
        <v>23</v>
      </c>
      <c r="F24">
        <v>15</v>
      </c>
      <c r="G24">
        <v>4</v>
      </c>
      <c r="H24">
        <v>4</v>
      </c>
      <c r="I24">
        <v>2795</v>
      </c>
      <c r="J24">
        <v>156</v>
      </c>
      <c r="K24">
        <v>18</v>
      </c>
      <c r="L24" t="s">
        <v>23</v>
      </c>
      <c r="M24">
        <v>21</v>
      </c>
      <c r="N24" t="s">
        <v>27</v>
      </c>
      <c r="O24" t="s">
        <v>32</v>
      </c>
      <c r="P24">
        <v>1</v>
      </c>
      <c r="Q24">
        <v>0</v>
      </c>
      <c r="R24">
        <v>1566</v>
      </c>
      <c r="S24">
        <v>1567</v>
      </c>
      <c r="T24">
        <v>1567</v>
      </c>
      <c r="U24" t="s">
        <v>33</v>
      </c>
      <c r="W24">
        <f t="shared" si="0"/>
        <v>1</v>
      </c>
      <c r="AD24">
        <f t="shared" si="1"/>
        <v>1</v>
      </c>
      <c r="AF24">
        <v>1567</v>
      </c>
      <c r="AG24">
        <v>1567</v>
      </c>
      <c r="AI24" t="s">
        <v>32</v>
      </c>
      <c r="AJ24">
        <v>1</v>
      </c>
      <c r="AL24">
        <v>1</v>
      </c>
    </row>
    <row r="25" spans="1:38" x14ac:dyDescent="0.25">
      <c r="A25" t="s">
        <v>21</v>
      </c>
      <c r="B25" t="s">
        <v>22</v>
      </c>
      <c r="C25">
        <v>2024</v>
      </c>
      <c r="D25">
        <v>11</v>
      </c>
      <c r="E25">
        <v>23</v>
      </c>
      <c r="F25">
        <v>15</v>
      </c>
      <c r="G25">
        <v>4</v>
      </c>
      <c r="H25">
        <v>10</v>
      </c>
      <c r="I25">
        <v>2795</v>
      </c>
      <c r="J25">
        <v>156</v>
      </c>
      <c r="K25">
        <v>18</v>
      </c>
      <c r="L25" t="s">
        <v>23</v>
      </c>
      <c r="M25">
        <v>22</v>
      </c>
      <c r="N25" t="s">
        <v>27</v>
      </c>
      <c r="O25" t="s">
        <v>32</v>
      </c>
      <c r="P25">
        <v>1</v>
      </c>
      <c r="Q25">
        <v>0</v>
      </c>
      <c r="R25">
        <v>1025</v>
      </c>
      <c r="S25">
        <v>1384</v>
      </c>
      <c r="T25">
        <v>1384</v>
      </c>
      <c r="U25" t="s">
        <v>29</v>
      </c>
      <c r="W25">
        <f t="shared" si="0"/>
        <v>1</v>
      </c>
      <c r="AD25">
        <f t="shared" si="1"/>
        <v>1</v>
      </c>
      <c r="AF25">
        <v>1384</v>
      </c>
      <c r="AG25">
        <v>1384</v>
      </c>
      <c r="AI25" t="s">
        <v>32</v>
      </c>
      <c r="AJ25">
        <v>1</v>
      </c>
      <c r="AL25">
        <v>1</v>
      </c>
    </row>
    <row r="26" spans="1:38" x14ac:dyDescent="0.25">
      <c r="A26" t="s">
        <v>21</v>
      </c>
      <c r="B26" t="s">
        <v>22</v>
      </c>
      <c r="C26">
        <v>2024</v>
      </c>
      <c r="D26">
        <v>11</v>
      </c>
      <c r="E26">
        <v>23</v>
      </c>
      <c r="F26">
        <v>15</v>
      </c>
      <c r="G26">
        <v>4</v>
      </c>
      <c r="H26">
        <v>16</v>
      </c>
      <c r="I26">
        <v>2795</v>
      </c>
      <c r="J26">
        <v>156</v>
      </c>
      <c r="K26">
        <v>18</v>
      </c>
      <c r="L26" t="s">
        <v>23</v>
      </c>
      <c r="M26">
        <v>23</v>
      </c>
      <c r="N26" t="s">
        <v>27</v>
      </c>
      <c r="O26" t="s">
        <v>28</v>
      </c>
      <c r="P26">
        <v>0</v>
      </c>
      <c r="Q26">
        <v>0</v>
      </c>
      <c r="R26">
        <v>2767</v>
      </c>
      <c r="S26">
        <v>2767</v>
      </c>
      <c r="T26">
        <v>2767</v>
      </c>
      <c r="U26" t="s">
        <v>29</v>
      </c>
      <c r="W26">
        <f t="shared" si="0"/>
        <v>1</v>
      </c>
      <c r="AD26">
        <f t="shared" si="1"/>
        <v>1</v>
      </c>
      <c r="AF26">
        <v>2767</v>
      </c>
      <c r="AI26" t="s">
        <v>28</v>
      </c>
      <c r="AJ26">
        <v>0</v>
      </c>
    </row>
    <row r="27" spans="1:38" x14ac:dyDescent="0.25">
      <c r="A27" t="s">
        <v>21</v>
      </c>
      <c r="B27" t="s">
        <v>22</v>
      </c>
      <c r="C27">
        <v>2024</v>
      </c>
      <c r="D27">
        <v>11</v>
      </c>
      <c r="E27">
        <v>23</v>
      </c>
      <c r="F27">
        <v>15</v>
      </c>
      <c r="G27">
        <v>4</v>
      </c>
      <c r="H27">
        <v>25</v>
      </c>
      <c r="I27">
        <v>2795</v>
      </c>
      <c r="J27">
        <v>156</v>
      </c>
      <c r="K27">
        <v>18</v>
      </c>
      <c r="L27" t="s">
        <v>23</v>
      </c>
      <c r="M27">
        <v>24</v>
      </c>
      <c r="N27" t="s">
        <v>27</v>
      </c>
      <c r="O27" t="s">
        <v>28</v>
      </c>
      <c r="P27">
        <v>0</v>
      </c>
      <c r="Q27">
        <v>0</v>
      </c>
      <c r="R27">
        <v>722</v>
      </c>
      <c r="S27">
        <v>4215</v>
      </c>
      <c r="T27">
        <v>4215</v>
      </c>
      <c r="U27" t="s">
        <v>30</v>
      </c>
      <c r="W27">
        <f t="shared" si="0"/>
        <v>1</v>
      </c>
      <c r="AD27">
        <f t="shared" si="1"/>
        <v>1</v>
      </c>
      <c r="AF27">
        <v>4215</v>
      </c>
      <c r="AI27" t="s">
        <v>28</v>
      </c>
      <c r="AJ27">
        <v>0</v>
      </c>
    </row>
    <row r="28" spans="1:38" x14ac:dyDescent="0.25">
      <c r="A28" t="s">
        <v>21</v>
      </c>
      <c r="B28" t="s">
        <v>22</v>
      </c>
      <c r="C28">
        <v>2024</v>
      </c>
      <c r="D28">
        <v>11</v>
      </c>
      <c r="E28">
        <v>23</v>
      </c>
      <c r="F28">
        <v>15</v>
      </c>
      <c r="G28">
        <v>4</v>
      </c>
      <c r="H28">
        <v>35</v>
      </c>
      <c r="I28">
        <v>2795</v>
      </c>
      <c r="J28">
        <v>156</v>
      </c>
      <c r="K28">
        <v>18</v>
      </c>
      <c r="L28" t="s">
        <v>23</v>
      </c>
      <c r="M28">
        <v>25</v>
      </c>
      <c r="N28" t="s">
        <v>27</v>
      </c>
      <c r="O28" t="s">
        <v>28</v>
      </c>
      <c r="P28">
        <v>0</v>
      </c>
      <c r="Q28">
        <v>0</v>
      </c>
      <c r="R28">
        <v>1310</v>
      </c>
      <c r="S28">
        <v>1310</v>
      </c>
      <c r="T28">
        <v>1310</v>
      </c>
      <c r="U28" t="s">
        <v>34</v>
      </c>
      <c r="W28">
        <f t="shared" si="0"/>
        <v>1</v>
      </c>
      <c r="AD28">
        <f t="shared" si="1"/>
        <v>1</v>
      </c>
      <c r="AF28">
        <v>1310</v>
      </c>
      <c r="AI28" t="s">
        <v>28</v>
      </c>
      <c r="AJ28">
        <v>0</v>
      </c>
    </row>
    <row r="29" spans="1:38" x14ac:dyDescent="0.25">
      <c r="A29" t="s">
        <v>21</v>
      </c>
      <c r="B29" t="s">
        <v>22</v>
      </c>
      <c r="C29">
        <v>2024</v>
      </c>
      <c r="D29">
        <v>11</v>
      </c>
      <c r="E29">
        <v>23</v>
      </c>
      <c r="F29">
        <v>15</v>
      </c>
      <c r="G29">
        <v>4</v>
      </c>
      <c r="H29">
        <v>41</v>
      </c>
      <c r="I29">
        <v>2795</v>
      </c>
      <c r="J29">
        <v>156</v>
      </c>
      <c r="K29">
        <v>18</v>
      </c>
      <c r="L29" t="s">
        <v>23</v>
      </c>
      <c r="M29">
        <v>26</v>
      </c>
      <c r="N29" t="s">
        <v>27</v>
      </c>
      <c r="O29" t="s">
        <v>28</v>
      </c>
      <c r="P29">
        <v>1</v>
      </c>
      <c r="Q29">
        <v>0</v>
      </c>
      <c r="R29">
        <v>4821</v>
      </c>
      <c r="S29">
        <v>6614</v>
      </c>
      <c r="T29">
        <v>6614</v>
      </c>
      <c r="U29" t="s">
        <v>34</v>
      </c>
      <c r="W29">
        <f t="shared" si="0"/>
        <v>1</v>
      </c>
      <c r="AD29">
        <f t="shared" si="1"/>
        <v>0</v>
      </c>
      <c r="AF29">
        <v>6614</v>
      </c>
      <c r="AI29" t="s">
        <v>28</v>
      </c>
      <c r="AJ29">
        <v>1</v>
      </c>
      <c r="AK29">
        <v>1</v>
      </c>
    </row>
    <row r="30" spans="1:38" x14ac:dyDescent="0.25">
      <c r="A30" t="s">
        <v>21</v>
      </c>
      <c r="B30" t="s">
        <v>22</v>
      </c>
      <c r="C30">
        <v>2024</v>
      </c>
      <c r="D30">
        <v>11</v>
      </c>
      <c r="E30">
        <v>23</v>
      </c>
      <c r="F30">
        <v>15</v>
      </c>
      <c r="G30">
        <v>4</v>
      </c>
      <c r="H30">
        <v>52</v>
      </c>
      <c r="I30">
        <v>2795</v>
      </c>
      <c r="J30">
        <v>156</v>
      </c>
      <c r="K30">
        <v>18</v>
      </c>
      <c r="L30" t="s">
        <v>23</v>
      </c>
      <c r="M30">
        <v>27</v>
      </c>
      <c r="N30" t="s">
        <v>27</v>
      </c>
      <c r="O30" t="s">
        <v>32</v>
      </c>
      <c r="P30">
        <v>0</v>
      </c>
      <c r="Q30">
        <v>0</v>
      </c>
      <c r="R30">
        <v>609</v>
      </c>
      <c r="S30">
        <v>609</v>
      </c>
      <c r="T30">
        <v>609</v>
      </c>
      <c r="U30" t="s">
        <v>26</v>
      </c>
      <c r="W30">
        <f t="shared" si="0"/>
        <v>1</v>
      </c>
      <c r="AD30">
        <f t="shared" si="1"/>
        <v>1</v>
      </c>
      <c r="AF30">
        <v>609</v>
      </c>
      <c r="AI30" t="s">
        <v>32</v>
      </c>
      <c r="AJ30">
        <v>0</v>
      </c>
    </row>
    <row r="31" spans="1:38" x14ac:dyDescent="0.25">
      <c r="A31" t="s">
        <v>21</v>
      </c>
      <c r="B31" t="s">
        <v>22</v>
      </c>
      <c r="C31">
        <v>2024</v>
      </c>
      <c r="D31">
        <v>11</v>
      </c>
      <c r="E31">
        <v>23</v>
      </c>
      <c r="F31">
        <v>15</v>
      </c>
      <c r="G31">
        <v>5</v>
      </c>
      <c r="H31">
        <v>1</v>
      </c>
      <c r="I31">
        <v>2795</v>
      </c>
      <c r="J31">
        <v>156</v>
      </c>
      <c r="K31">
        <v>18</v>
      </c>
      <c r="L31" t="s">
        <v>23</v>
      </c>
      <c r="M31">
        <v>28</v>
      </c>
      <c r="N31" t="s">
        <v>27</v>
      </c>
      <c r="O31" t="s">
        <v>28</v>
      </c>
      <c r="P31">
        <v>1</v>
      </c>
      <c r="Q31">
        <v>0</v>
      </c>
      <c r="R31">
        <v>2486</v>
      </c>
      <c r="S31">
        <v>2486</v>
      </c>
      <c r="T31">
        <v>2486</v>
      </c>
      <c r="U31" t="s">
        <v>29</v>
      </c>
      <c r="W31">
        <f t="shared" si="0"/>
        <v>1</v>
      </c>
      <c r="AD31">
        <f t="shared" si="1"/>
        <v>1</v>
      </c>
      <c r="AF31">
        <v>2486</v>
      </c>
      <c r="AH31">
        <v>2486</v>
      </c>
      <c r="AI31" t="s">
        <v>28</v>
      </c>
      <c r="AJ31">
        <v>1</v>
      </c>
      <c r="AK31">
        <v>1</v>
      </c>
    </row>
    <row r="32" spans="1:38" x14ac:dyDescent="0.25">
      <c r="A32" t="s">
        <v>21</v>
      </c>
      <c r="B32" t="s">
        <v>22</v>
      </c>
      <c r="C32">
        <v>2024</v>
      </c>
      <c r="D32">
        <v>11</v>
      </c>
      <c r="E32">
        <v>23</v>
      </c>
      <c r="F32">
        <v>15</v>
      </c>
      <c r="G32">
        <v>5</v>
      </c>
      <c r="H32">
        <v>7</v>
      </c>
      <c r="I32">
        <v>2795</v>
      </c>
      <c r="J32">
        <v>156</v>
      </c>
      <c r="K32">
        <v>18</v>
      </c>
      <c r="L32" t="s">
        <v>23</v>
      </c>
      <c r="M32">
        <v>29</v>
      </c>
      <c r="N32" t="s">
        <v>27</v>
      </c>
      <c r="O32" t="s">
        <v>28</v>
      </c>
      <c r="P32">
        <v>1</v>
      </c>
      <c r="Q32">
        <v>0</v>
      </c>
      <c r="R32">
        <v>1942</v>
      </c>
      <c r="S32">
        <v>1942</v>
      </c>
      <c r="T32">
        <v>1942</v>
      </c>
      <c r="U32" t="s">
        <v>26</v>
      </c>
      <c r="W32">
        <f t="shared" si="0"/>
        <v>1</v>
      </c>
      <c r="AD32">
        <f t="shared" si="1"/>
        <v>1</v>
      </c>
      <c r="AF32">
        <v>1942</v>
      </c>
      <c r="AH32">
        <v>1942</v>
      </c>
      <c r="AI32" t="s">
        <v>28</v>
      </c>
      <c r="AJ32">
        <v>1</v>
      </c>
      <c r="AK32">
        <v>1</v>
      </c>
    </row>
    <row r="33" spans="1:38" x14ac:dyDescent="0.25">
      <c r="A33" t="s">
        <v>21</v>
      </c>
      <c r="B33" t="s">
        <v>22</v>
      </c>
      <c r="C33">
        <v>2024</v>
      </c>
      <c r="D33">
        <v>11</v>
      </c>
      <c r="E33">
        <v>23</v>
      </c>
      <c r="F33">
        <v>15</v>
      </c>
      <c r="G33">
        <v>5</v>
      </c>
      <c r="H33">
        <v>13</v>
      </c>
      <c r="I33">
        <v>2795</v>
      </c>
      <c r="J33">
        <v>156</v>
      </c>
      <c r="K33">
        <v>18</v>
      </c>
      <c r="L33" t="s">
        <v>23</v>
      </c>
      <c r="M33">
        <v>30</v>
      </c>
      <c r="N33" t="s">
        <v>27</v>
      </c>
      <c r="O33" t="s">
        <v>28</v>
      </c>
      <c r="P33">
        <v>1</v>
      </c>
      <c r="Q33">
        <v>0</v>
      </c>
      <c r="R33">
        <v>1535</v>
      </c>
      <c r="S33">
        <v>1535</v>
      </c>
      <c r="T33">
        <v>1535</v>
      </c>
      <c r="U33" t="s">
        <v>34</v>
      </c>
      <c r="W33">
        <f t="shared" si="0"/>
        <v>1</v>
      </c>
      <c r="AD33">
        <f t="shared" si="1"/>
        <v>1</v>
      </c>
      <c r="AF33">
        <v>1535</v>
      </c>
      <c r="AH33">
        <v>1535</v>
      </c>
      <c r="AI33" t="s">
        <v>28</v>
      </c>
      <c r="AJ33">
        <v>1</v>
      </c>
      <c r="AK33">
        <v>1</v>
      </c>
    </row>
    <row r="34" spans="1:38" x14ac:dyDescent="0.25">
      <c r="A34" t="s">
        <v>21</v>
      </c>
      <c r="B34" t="s">
        <v>22</v>
      </c>
      <c r="C34">
        <v>2024</v>
      </c>
      <c r="D34">
        <v>11</v>
      </c>
      <c r="E34">
        <v>23</v>
      </c>
      <c r="F34">
        <v>15</v>
      </c>
      <c r="G34">
        <v>5</v>
      </c>
      <c r="H34">
        <v>19</v>
      </c>
      <c r="I34">
        <v>2795</v>
      </c>
      <c r="J34">
        <v>156</v>
      </c>
      <c r="K34">
        <v>18</v>
      </c>
      <c r="L34" t="s">
        <v>23</v>
      </c>
      <c r="M34">
        <v>31</v>
      </c>
      <c r="N34" t="s">
        <v>27</v>
      </c>
      <c r="O34" t="s">
        <v>28</v>
      </c>
      <c r="P34">
        <v>1</v>
      </c>
      <c r="Q34">
        <v>0</v>
      </c>
      <c r="R34">
        <v>4937</v>
      </c>
      <c r="S34">
        <v>5404</v>
      </c>
      <c r="T34">
        <v>5404</v>
      </c>
      <c r="U34" t="s">
        <v>26</v>
      </c>
      <c r="W34">
        <f t="shared" si="0"/>
        <v>1</v>
      </c>
      <c r="AD34">
        <f t="shared" si="1"/>
        <v>0</v>
      </c>
      <c r="AF34">
        <v>5404</v>
      </c>
      <c r="AI34" t="s">
        <v>28</v>
      </c>
      <c r="AJ34">
        <v>1</v>
      </c>
      <c r="AK34">
        <v>1</v>
      </c>
    </row>
    <row r="35" spans="1:38" x14ac:dyDescent="0.25">
      <c r="A35" t="s">
        <v>21</v>
      </c>
      <c r="B35" t="s">
        <v>22</v>
      </c>
      <c r="C35">
        <v>2024</v>
      </c>
      <c r="D35">
        <v>11</v>
      </c>
      <c r="E35">
        <v>23</v>
      </c>
      <c r="F35">
        <v>15</v>
      </c>
      <c r="G35">
        <v>5</v>
      </c>
      <c r="H35">
        <v>28</v>
      </c>
      <c r="I35">
        <v>2795</v>
      </c>
      <c r="J35">
        <v>156</v>
      </c>
      <c r="K35">
        <v>18</v>
      </c>
      <c r="L35" t="s">
        <v>23</v>
      </c>
      <c r="M35">
        <v>32</v>
      </c>
      <c r="N35" t="s">
        <v>27</v>
      </c>
      <c r="O35" t="s">
        <v>28</v>
      </c>
      <c r="P35">
        <v>1</v>
      </c>
      <c r="Q35">
        <v>0</v>
      </c>
      <c r="R35">
        <v>9564</v>
      </c>
      <c r="S35">
        <v>9647</v>
      </c>
      <c r="T35">
        <v>9647</v>
      </c>
      <c r="U35" t="s">
        <v>25</v>
      </c>
      <c r="W35">
        <f t="shared" si="0"/>
        <v>1</v>
      </c>
      <c r="AD35">
        <f t="shared" si="1"/>
        <v>0</v>
      </c>
      <c r="AF35">
        <v>9647</v>
      </c>
      <c r="AI35" t="s">
        <v>28</v>
      </c>
      <c r="AJ35">
        <v>1</v>
      </c>
      <c r="AK35">
        <v>1</v>
      </c>
    </row>
    <row r="36" spans="1:38" x14ac:dyDescent="0.25">
      <c r="AG36">
        <f>MEDIAN(AG4:AG35)</f>
        <v>1699</v>
      </c>
      <c r="AH36">
        <f>MEDIAN(AH3:AH35)</f>
        <v>2346</v>
      </c>
      <c r="AK36" t="s">
        <v>51</v>
      </c>
      <c r="AL36" t="s">
        <v>52</v>
      </c>
    </row>
    <row r="37" spans="1:38" x14ac:dyDescent="0.25">
      <c r="AK37">
        <v>0.73909999999999998</v>
      </c>
      <c r="AL37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Piuze</dc:creator>
  <cp:lastModifiedBy>Alex Piuze</cp:lastModifiedBy>
  <dcterms:created xsi:type="dcterms:W3CDTF">2024-11-23T15:36:34Z</dcterms:created>
  <dcterms:modified xsi:type="dcterms:W3CDTF">2025-06-13T17:51:43Z</dcterms:modified>
</cp:coreProperties>
</file>